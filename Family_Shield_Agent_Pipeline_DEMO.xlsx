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ipeline" sheetId="2" state="visible" r:id="rId2"/>
    <sheet name="Daily Log" sheetId="3" state="visible" r:id="rId3"/>
    <sheet name="State 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C9A227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9A227"/>
      <sz val="16"/>
    </font>
    <font>
      <name val="Arial"/>
      <color rgb="006B6B6B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9A227"/>
      <sz val="12"/>
    </font>
    <font>
      <name val="Arial"/>
      <b val="1"/>
      <color rgb="00000000"/>
      <sz val="12"/>
    </font>
    <font>
      <name val="Arial"/>
      <b val="1"/>
      <color rgb="000000FF"/>
      <sz val="12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FFF2B2"/>
      </patternFill>
    </fill>
    <fill>
      <patternFill patternType="solid">
        <fgColor rgb="00F7EFD3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12" fillId="2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name val="Arial"/>
        <color rgb="00000000"/>
        <sz val="9"/>
      </font>
      <fill>
        <patternFill patternType="solid">
          <fgColor rgb="00C6EFCE"/>
        </patternFill>
      </fill>
    </dxf>
    <dxf>
      <font>
        <name val="Arial"/>
        <color rgb="00000000"/>
        <sz val="9"/>
      </font>
      <fill>
        <patternFill patternType="solid">
          <fgColor rgb="00C9A227"/>
        </patternFill>
      </fill>
    </dxf>
    <dxf>
      <font>
        <name val="Arial"/>
        <color rgb="00000000"/>
        <sz val="9"/>
      </font>
      <fill>
        <patternFill patternType="solid">
          <fgColor rgb="00DDEBF7"/>
        </patternFill>
      </fill>
    </dxf>
    <dxf>
      <font>
        <name val="Arial"/>
        <color rgb="00000000"/>
        <sz val="9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3" customWidth="1" min="4" max="4"/>
    <col width="22" customWidth="1" min="5" max="5"/>
    <col width="12" customWidth="1" min="6" max="6"/>
  </cols>
  <sheetData>
    <row r="1" ht="34" customHeight="1">
      <c r="A1" s="1" t="inlineStr">
        <is>
          <t>FAMILY SHIELD FINANCIAL  —  AGENT PIPELINE</t>
        </is>
      </c>
    </row>
    <row r="2">
      <c r="A2" s="2" t="inlineStr">
        <is>
          <t>Live pipeline + funnel math. Numbers pull from the Pipeline tab — just keep that tab updated.</t>
        </is>
      </c>
    </row>
    <row r="4">
      <c r="A4" s="3" t="inlineStr">
        <is>
          <t>RECRUITING FUNNEL</t>
        </is>
      </c>
      <c r="E4" s="3" t="inlineStr">
        <is>
          <t>CONVERSION</t>
        </is>
      </c>
    </row>
    <row r="5">
      <c r="A5" s="4" t="inlineStr">
        <is>
          <t>Total recruits</t>
        </is>
      </c>
      <c r="B5" s="5" t="n"/>
      <c r="C5" s="6">
        <f>COUNTIF(Pipeline!$A$3:$A$64,"&lt;&gt;")</f>
        <v/>
      </c>
      <c r="E5" s="4" t="inlineStr">
        <is>
          <t>Reply → Call 1</t>
        </is>
      </c>
      <c r="F5" s="7">
        <f>IFERROR(C7/C6,0)</f>
        <v/>
      </c>
    </row>
    <row r="6">
      <c r="A6" s="4" t="inlineStr">
        <is>
          <t>DMs replied (Y)</t>
        </is>
      </c>
      <c r="B6" s="5" t="n"/>
      <c r="C6" s="6">
        <f>COUNTIF(Pipeline!$E$3:$E$64,"Y")</f>
        <v/>
      </c>
      <c r="E6" s="4" t="inlineStr">
        <is>
          <t>Call 1 → Call 2</t>
        </is>
      </c>
      <c r="F6" s="7">
        <f>IFERROR(C8/C7,0)</f>
        <v/>
      </c>
    </row>
    <row r="7">
      <c r="A7" s="4" t="inlineStr">
        <is>
          <t>Call 1 done</t>
        </is>
      </c>
      <c r="B7" s="5" t="n"/>
      <c r="C7" s="6">
        <f>COUNTIF(Pipeline!$G$3:$G$64,"Y")</f>
        <v/>
      </c>
      <c r="E7" s="4" t="inlineStr">
        <is>
          <t>Call 2 → Signed</t>
        </is>
      </c>
      <c r="F7" s="7">
        <f>IFERROR(C9/C8,0)</f>
        <v/>
      </c>
    </row>
    <row r="8">
      <c r="A8" s="4" t="inlineStr">
        <is>
          <t>Call 2 done</t>
        </is>
      </c>
      <c r="B8" s="5" t="n"/>
      <c r="C8" s="6">
        <f>COUNTIF(Pipeline!$I$3:$I$64,"Y")</f>
        <v/>
      </c>
      <c r="E8" s="4" t="inlineStr">
        <is>
          <t>Signed → Passed</t>
        </is>
      </c>
      <c r="F8" s="7">
        <f>IFERROR(C11/C9,0)</f>
        <v/>
      </c>
    </row>
    <row r="9">
      <c r="A9" s="4" t="inlineStr">
        <is>
          <t>Signed</t>
        </is>
      </c>
      <c r="B9" s="5" t="n"/>
      <c r="C9" s="6">
        <f>COUNTIF(Pipeline!$M$3:$M$64,"Y")</f>
        <v/>
      </c>
      <c r="E9" s="4" t="inlineStr">
        <is>
          <t>Passed → First Sale</t>
        </is>
      </c>
      <c r="F9" s="7">
        <f>IFERROR(C13/C11,0)</f>
        <v/>
      </c>
    </row>
    <row r="10">
      <c r="A10" s="4" t="inlineStr">
        <is>
          <t>Exam scheduled</t>
        </is>
      </c>
      <c r="B10" s="5" t="n"/>
      <c r="C10" s="6">
        <f>COUNTIF(Pipeline!$N$3:$N$64,"&lt;&gt;")</f>
        <v/>
      </c>
      <c r="E10" s="2" t="inlineStr">
        <is>
          <t>← Find your single worst number each Sunday. Fix one lever that week.</t>
        </is>
      </c>
    </row>
    <row r="11">
      <c r="A11" s="4" t="inlineStr">
        <is>
          <t>Exam passed</t>
        </is>
      </c>
      <c r="B11" s="5" t="n"/>
      <c r="C11" s="6">
        <f>COUNTIF(Pipeline!$Q$3:$Q$64,"&lt;&gt;")</f>
        <v/>
      </c>
    </row>
    <row r="12">
      <c r="A12" s="4" t="inlineStr">
        <is>
          <t>Contracted</t>
        </is>
      </c>
      <c r="B12" s="5" t="n"/>
      <c r="C12" s="6">
        <f>COUNTIF(Pipeline!$R$3:$R$64,"Y")</f>
        <v/>
      </c>
    </row>
    <row r="13">
      <c r="A13" s="4" t="inlineStr">
        <is>
          <t>First sale</t>
        </is>
      </c>
      <c r="B13" s="5" t="n"/>
      <c r="C13" s="6">
        <f>COUNTIF(Pipeline!$T$3:$T$64,"&lt;&gt;")</f>
        <v/>
      </c>
    </row>
    <row r="14">
      <c r="A14" s="4" t="inlineStr">
        <is>
          <t>No-shows (total)</t>
        </is>
      </c>
      <c r="B14" s="5" t="n"/>
      <c r="C14" s="6">
        <f>SUM(Pipeline!$V$3:$V$64)</f>
        <v/>
      </c>
    </row>
    <row r="16">
      <c r="A16" s="3" t="inlineStr">
        <is>
          <t>CURRENT STAGE DISTRIBUTION</t>
        </is>
      </c>
      <c r="E16" s="3" t="inlineStr">
        <is>
          <t>WEEKLY TARGETS (edit yellow)</t>
        </is>
      </c>
    </row>
    <row r="17">
      <c r="A17" s="4" t="inlineStr">
        <is>
          <t>Funnel-Outreach</t>
        </is>
      </c>
      <c r="B17" s="5" t="n"/>
      <c r="C17" s="6">
        <f>COUNTIF(Pipeline!$U$3:$U$64,"Funnel-Outreach")</f>
        <v/>
      </c>
      <c r="E17" s="4" t="inlineStr">
        <is>
          <t>DMs sent / wk</t>
        </is>
      </c>
      <c r="F17" s="8" t="n">
        <v>200</v>
      </c>
    </row>
    <row r="18">
      <c r="A18" s="4" t="inlineStr">
        <is>
          <t>Funnel-Call1</t>
        </is>
      </c>
      <c r="B18" s="5" t="n"/>
      <c r="C18" s="6">
        <f>COUNTIF(Pipeline!$U$3:$U$64,"Funnel-Call1")</f>
        <v/>
      </c>
      <c r="E18" s="4" t="inlineStr">
        <is>
          <t>Call 1s / wk</t>
        </is>
      </c>
      <c r="F18" s="8" t="n">
        <v>10</v>
      </c>
    </row>
    <row r="19">
      <c r="A19" s="4" t="inlineStr">
        <is>
          <t>Funnel-Call2</t>
        </is>
      </c>
      <c r="B19" s="5" t="n"/>
      <c r="C19" s="6">
        <f>COUNTIF(Pipeline!$U$3:$U$64,"Funnel-Call2")</f>
        <v/>
      </c>
      <c r="E19" s="4" t="inlineStr">
        <is>
          <t>Call 2s / wk</t>
        </is>
      </c>
      <c r="F19" s="8" t="n">
        <v>5</v>
      </c>
    </row>
    <row r="20">
      <c r="A20" s="4" t="inlineStr">
        <is>
          <t>Funnel-Call3</t>
        </is>
      </c>
      <c r="B20" s="5" t="n"/>
      <c r="C20" s="6">
        <f>COUNTIF(Pipeline!$U$3:$U$64,"Funnel-Call3")</f>
        <v/>
      </c>
      <c r="E20" s="4" t="inlineStr">
        <is>
          <t>Signed / wk</t>
        </is>
      </c>
      <c r="F20" s="8" t="n">
        <v>2</v>
      </c>
    </row>
    <row r="21">
      <c r="A21" s="4" t="inlineStr">
        <is>
          <t>Signed</t>
        </is>
      </c>
      <c r="B21" s="5" t="n"/>
      <c r="C21" s="6">
        <f>COUNTIF(Pipeline!$U$3:$U$64,"Signed")</f>
        <v/>
      </c>
      <c r="E21" s="4" t="inlineStr">
        <is>
          <t>In Hell Week</t>
        </is>
      </c>
      <c r="F21" s="8" t="n">
        <v>2</v>
      </c>
    </row>
    <row r="22">
      <c r="A22" s="4" t="inlineStr">
        <is>
          <t>Activation-Onboard</t>
        </is>
      </c>
      <c r="B22" s="5" t="n"/>
      <c r="C22" s="6">
        <f>COUNTIF(Pipeline!$U$3:$U$64,"Activation-Onboard")</f>
        <v/>
      </c>
    </row>
    <row r="23">
      <c r="A23" s="4" t="inlineStr">
        <is>
          <t>Activation-Study</t>
        </is>
      </c>
      <c r="B23" s="5" t="n"/>
      <c r="C23" s="6">
        <f>COUNTIF(Pipeline!$U$3:$U$64,"Activation-Study")</f>
        <v/>
      </c>
      <c r="E23" s="2" t="inlineStr">
        <is>
          <t>Targets are a starting point — recalibrate after 30 days of real data.</t>
        </is>
      </c>
    </row>
    <row r="24">
      <c r="A24" s="4" t="inlineStr">
        <is>
          <t>Activation-Contract</t>
        </is>
      </c>
      <c r="B24" s="5" t="n"/>
      <c r="C24" s="6">
        <f>COUNTIF(Pipeline!$U$3:$U$64,"Activation-Contract")</f>
        <v/>
      </c>
    </row>
    <row r="25">
      <c r="A25" s="4" t="inlineStr">
        <is>
          <t>Hell Week</t>
        </is>
      </c>
      <c r="B25" s="5" t="n"/>
      <c r="C25" s="6">
        <f>COUNTIF(Pipeline!$U$3:$U$64,"Hell Week")</f>
        <v/>
      </c>
    </row>
    <row r="26">
      <c r="A26" s="4" t="inlineStr">
        <is>
          <t>Graduated</t>
        </is>
      </c>
      <c r="B26" s="5" t="n"/>
      <c r="C26" s="6">
        <f>COUNTIF(Pipeline!$U$3:$U$64,"Graduated")</f>
        <v/>
      </c>
    </row>
    <row r="27">
      <c r="A27" s="4" t="inlineStr">
        <is>
          <t>Lost-Declined</t>
        </is>
      </c>
      <c r="B27" s="5" t="n"/>
      <c r="C27" s="6">
        <f>COUNTIF(Pipeline!$U$3:$U$64,"Lost-Declined")</f>
        <v/>
      </c>
    </row>
    <row r="29">
      <c r="A29" s="2" t="inlineStr">
        <is>
          <t>At ≥2 signed/week consistently → switch to cohort onboarding (start them together, shared Hell Week).</t>
        </is>
      </c>
    </row>
  </sheetData>
  <mergeCells count="30">
    <mergeCell ref="A24:B24"/>
    <mergeCell ref="A11:B11"/>
    <mergeCell ref="A6:B6"/>
    <mergeCell ref="A2:F2"/>
    <mergeCell ref="E4:F4"/>
    <mergeCell ref="A7:B7"/>
    <mergeCell ref="A25:B25"/>
    <mergeCell ref="A18:B18"/>
    <mergeCell ref="A4:C4"/>
    <mergeCell ref="A27:B27"/>
    <mergeCell ref="A29:F29"/>
    <mergeCell ref="A12:B12"/>
    <mergeCell ref="A26:B26"/>
    <mergeCell ref="A21:B21"/>
    <mergeCell ref="A5:B5"/>
    <mergeCell ref="A14:B14"/>
    <mergeCell ref="A17:B17"/>
    <mergeCell ref="A23:B23"/>
    <mergeCell ref="A8:B8"/>
    <mergeCell ref="A22:B22"/>
    <mergeCell ref="A20:B20"/>
    <mergeCell ref="E16:F16"/>
    <mergeCell ref="A19:B19"/>
    <mergeCell ref="A1:F1"/>
    <mergeCell ref="E10:F11"/>
    <mergeCell ref="A10:B10"/>
    <mergeCell ref="E23:F24"/>
    <mergeCell ref="A13:B13"/>
    <mergeCell ref="A9:B9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7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28" customWidth="1" min="10" max="10"/>
    <col width="6" customWidth="1" min="11" max="11"/>
    <col width="11" customWidth="1" min="12" max="12"/>
    <col width="8" customWidth="1" min="13" max="13"/>
    <col width="13" customWidth="1" min="14" max="14"/>
    <col width="13" customWidth="1" min="15" max="15"/>
    <col width="9" customWidth="1" min="16" max="16"/>
    <col width="11" customWidth="1" min="17" max="17"/>
    <col width="9" customWidth="1" min="18" max="18"/>
    <col width="13" customWidth="1" min="19" max="19"/>
    <col width="11" customWidth="1" min="20" max="20"/>
    <col width="18" customWidth="1" min="21" max="21"/>
    <col width="8" customWidth="1" min="22" max="22"/>
    <col width="30" customWidth="1" min="23" max="23"/>
  </cols>
  <sheetData>
    <row r="1" ht="26" customHeight="1">
      <c r="A1" s="9" t="inlineStr">
        <is>
          <t>FAMILY SHIELD FINANCIAL  —  RECRUIT PIPELINE</t>
        </is>
      </c>
    </row>
    <row r="2" ht="34" customHeight="1">
      <c r="A2" s="10" t="inlineStr">
        <is>
          <t>Name</t>
        </is>
      </c>
      <c r="B2" s="10" t="inlineStr">
        <is>
          <t>Source</t>
        </is>
      </c>
      <c r="C2" s="10" t="inlineStr">
        <is>
          <t>State</t>
        </is>
      </c>
      <c r="D2" s="10" t="inlineStr">
        <is>
          <t>Date First Contact</t>
        </is>
      </c>
      <c r="E2" s="10" t="inlineStr">
        <is>
          <t>DM Replied</t>
        </is>
      </c>
      <c r="F2" s="10" t="inlineStr">
        <is>
          <t>Call1 Date</t>
        </is>
      </c>
      <c r="G2" s="10" t="inlineStr">
        <is>
          <t>Call1 Done</t>
        </is>
      </c>
      <c r="H2" s="10" t="inlineStr">
        <is>
          <t>Call2 Date</t>
        </is>
      </c>
      <c r="I2" s="10" t="inlineStr">
        <is>
          <t>Call2 Done</t>
        </is>
      </c>
      <c r="J2" s="10" t="inlineStr">
        <is>
          <t>Why / Problem</t>
        </is>
      </c>
      <c r="K2" s="10" t="inlineStr">
        <is>
          <t>Fit</t>
        </is>
      </c>
      <c r="L2" s="10" t="inlineStr">
        <is>
          <t>Call3 Date</t>
        </is>
      </c>
      <c r="M2" s="10" t="inlineStr">
        <is>
          <t>Signed</t>
        </is>
      </c>
      <c r="N2" s="10" t="inlineStr">
        <is>
          <t>Exam Scheduled</t>
        </is>
      </c>
      <c r="O2" s="10" t="inlineStr">
        <is>
          <t>Course Provider</t>
        </is>
      </c>
      <c r="P2" s="10" t="inlineStr">
        <is>
          <t>Fingerprints</t>
        </is>
      </c>
      <c r="Q2" s="10" t="inlineStr">
        <is>
          <t>Exam Passed</t>
        </is>
      </c>
      <c r="R2" s="10" t="inlineStr">
        <is>
          <t>Contracted</t>
        </is>
      </c>
      <c r="S2" s="10" t="inlineStr">
        <is>
          <t>Hell Week Start</t>
        </is>
      </c>
      <c r="T2" s="10" t="inlineStr">
        <is>
          <t>First Sale</t>
        </is>
      </c>
      <c r="U2" s="10" t="inlineStr">
        <is>
          <t>Stage</t>
        </is>
      </c>
      <c r="V2" s="10" t="inlineStr">
        <is>
          <t>No-Show #</t>
        </is>
      </c>
      <c r="W2" s="10" t="inlineStr">
        <is>
          <t>Notes</t>
        </is>
      </c>
    </row>
    <row r="3">
      <c r="A3" s="22" t="inlineStr">
        <is>
          <t>Maria Lopez</t>
        </is>
      </c>
      <c r="B3" s="22" t="inlineStr">
        <is>
          <t>IG DM</t>
        </is>
      </c>
      <c r="C3" s="22" t="inlineStr">
        <is>
          <t>TX</t>
        </is>
      </c>
      <c r="D3" s="22" t="inlineStr">
        <is>
          <t>2026-06-08</t>
        </is>
      </c>
      <c r="E3" s="22" t="inlineStr">
        <is>
          <t>Y</t>
        </is>
      </c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inlineStr">
        <is>
          <t>Funnel-Outreach</t>
        </is>
      </c>
      <c r="V3" s="22" t="n">
        <v>0</v>
      </c>
      <c r="W3" s="22" t="inlineStr">
        <is>
          <t>Replied to AGENT reel, qualifying</t>
        </is>
      </c>
    </row>
    <row r="4">
      <c r="A4" s="22" t="inlineStr">
        <is>
          <t>Tyrone Banks</t>
        </is>
      </c>
      <c r="B4" s="22" t="inlineStr">
        <is>
          <t>IG DM</t>
        </is>
      </c>
      <c r="C4" s="22" t="inlineStr">
        <is>
          <t>GA</t>
        </is>
      </c>
      <c r="D4" s="22" t="inlineStr">
        <is>
          <t>2026-06-09</t>
        </is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inlineStr">
        <is>
          <t>Funnel-Outreach</t>
        </is>
      </c>
      <c r="V4" s="22" t="n">
        <v>0</v>
      </c>
      <c r="W4" s="22" t="inlineStr">
        <is>
          <t>Sent opener, no reply yet</t>
        </is>
      </c>
    </row>
    <row r="5">
      <c r="A5" s="22" t="inlineStr">
        <is>
          <t>Priya Nair</t>
        </is>
      </c>
      <c r="B5" s="22" t="inlineStr">
        <is>
          <t>FB</t>
        </is>
      </c>
      <c r="C5" s="22" t="inlineStr">
        <is>
          <t>NC</t>
        </is>
      </c>
      <c r="D5" s="22" t="inlineStr">
        <is>
          <t>2026-06-10</t>
        </is>
      </c>
      <c r="E5" s="22" t="inlineStr">
        <is>
          <t>Y</t>
        </is>
      </c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inlineStr">
        <is>
          <t>Funnel-Outreach</t>
        </is>
      </c>
      <c r="V5" s="22" t="n">
        <v>0</v>
      </c>
      <c r="W5" s="22" t="inlineStr">
        <is>
          <t>Warm, asking questions</t>
        </is>
      </c>
    </row>
    <row r="6">
      <c r="A6" s="22" t="inlineStr">
        <is>
          <t>Chris Dunn</t>
        </is>
      </c>
      <c r="B6" s="22" t="inlineStr">
        <is>
          <t>Referral – Jane</t>
        </is>
      </c>
      <c r="C6" s="22" t="inlineStr">
        <is>
          <t>OH</t>
        </is>
      </c>
      <c r="D6" s="22" t="inlineStr">
        <is>
          <t>2026-06-05</t>
        </is>
      </c>
      <c r="E6" s="22" t="inlineStr">
        <is>
          <t>Y</t>
        </is>
      </c>
      <c r="F6" s="22" t="inlineStr">
        <is>
          <t>2026-06-07</t>
        </is>
      </c>
      <c r="G6" s="22" t="inlineStr">
        <is>
          <t>Y</t>
        </is>
      </c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inlineStr">
        <is>
          <t>Funnel-Call1</t>
        </is>
      </c>
      <c r="V6" s="22" t="n">
        <v>0</v>
      </c>
      <c r="W6" s="22" t="inlineStr">
        <is>
          <t>Booking Call 2</t>
        </is>
      </c>
    </row>
    <row r="7">
      <c r="A7" s="22" t="inlineStr">
        <is>
          <t>Alyssa Reed</t>
        </is>
      </c>
      <c r="B7" s="22" t="inlineStr">
        <is>
          <t>IG DM</t>
        </is>
      </c>
      <c r="C7" s="22" t="inlineStr">
        <is>
          <t>AZ</t>
        </is>
      </c>
      <c r="D7" s="22" t="inlineStr">
        <is>
          <t>2026-06-04</t>
        </is>
      </c>
      <c r="E7" s="22" t="inlineStr">
        <is>
          <t>Y</t>
        </is>
      </c>
      <c r="F7" s="22" t="inlineStr">
        <is>
          <t>2026-06-06</t>
        </is>
      </c>
      <c r="G7" s="22" t="inlineStr">
        <is>
          <t>Y</t>
        </is>
      </c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inlineStr">
        <is>
          <t>Funnel-Call1</t>
        </is>
      </c>
      <c r="V7" s="22" t="n">
        <v>1</v>
      </c>
      <c r="W7" s="22" t="inlineStr">
        <is>
          <t>No-showed first C1, rebooked</t>
        </is>
      </c>
    </row>
    <row r="8">
      <c r="A8" s="22" t="inlineStr">
        <is>
          <t>Marcus Hill</t>
        </is>
      </c>
      <c r="B8" s="22" t="inlineStr">
        <is>
          <t>TikTok</t>
        </is>
      </c>
      <c r="C8" s="22" t="inlineStr">
        <is>
          <t>FL</t>
        </is>
      </c>
      <c r="D8" s="22" t="inlineStr">
        <is>
          <t>2026-05-30</t>
        </is>
      </c>
      <c r="E8" s="22" t="inlineStr">
        <is>
          <t>Y</t>
        </is>
      </c>
      <c r="F8" s="22" t="inlineStr">
        <is>
          <t>2026-06-02</t>
        </is>
      </c>
      <c r="G8" s="22" t="inlineStr">
        <is>
          <t>Y</t>
        </is>
      </c>
      <c r="H8" s="22" t="inlineStr">
        <is>
          <t>2026-06-05</t>
        </is>
      </c>
      <c r="I8" s="22" t="inlineStr">
        <is>
          <t>Y</t>
        </is>
      </c>
      <c r="J8" s="22" t="inlineStr">
        <is>
          <t>Hates his commission cap, wants ownership</t>
        </is>
      </c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inlineStr">
        <is>
          <t>Funnel-Call2</t>
        </is>
      </c>
      <c r="V8" s="22" t="n">
        <v>0</v>
      </c>
      <c r="W8" s="22" t="inlineStr">
        <is>
          <t>Strong why, fit looks good</t>
        </is>
      </c>
    </row>
    <row r="9">
      <c r="A9" s="22" t="inlineStr">
        <is>
          <t>Dana White</t>
        </is>
      </c>
      <c r="B9" s="22" t="inlineStr">
        <is>
          <t>Referral – Marcus</t>
        </is>
      </c>
      <c r="C9" s="22" t="inlineStr">
        <is>
          <t>FL</t>
        </is>
      </c>
      <c r="D9" s="22" t="inlineStr">
        <is>
          <t>2026-05-28</t>
        </is>
      </c>
      <c r="E9" s="22" t="inlineStr">
        <is>
          <t>Y</t>
        </is>
      </c>
      <c r="F9" s="22" t="inlineStr">
        <is>
          <t>2026-05-31</t>
        </is>
      </c>
      <c r="G9" s="22" t="inlineStr">
        <is>
          <t>Y</t>
        </is>
      </c>
      <c r="H9" s="22" t="inlineStr">
        <is>
          <t>2026-06-03</t>
        </is>
      </c>
      <c r="I9" s="22" t="inlineStr">
        <is>
          <t>Y</t>
        </is>
      </c>
      <c r="J9" s="22" t="inlineStr">
        <is>
          <t>Wants flexibility for her kids</t>
        </is>
      </c>
      <c r="K9" s="22" t="inlineStr">
        <is>
          <t>Y</t>
        </is>
      </c>
      <c r="L9" s="22" t="inlineStr">
        <is>
          <t>2026-06-09</t>
        </is>
      </c>
      <c r="M9" s="22" t="inlineStr">
        <is>
          <t>N</t>
        </is>
      </c>
      <c r="N9" s="22" t="n"/>
      <c r="O9" s="22" t="n"/>
      <c r="P9" s="22" t="n"/>
      <c r="Q9" s="22" t="n"/>
      <c r="R9" s="22" t="n"/>
      <c r="S9" s="22" t="n"/>
      <c r="T9" s="22" t="n"/>
      <c r="U9" s="22" t="inlineStr">
        <is>
          <t>Funnel-Call3</t>
        </is>
      </c>
      <c r="V9" s="22" t="n">
        <v>0</v>
      </c>
      <c r="W9" s="22" t="inlineStr">
        <is>
          <t>Offer call scheduled</t>
        </is>
      </c>
    </row>
    <row r="10">
      <c r="A10" s="22" t="inlineStr">
        <is>
          <t>Sam Carter</t>
        </is>
      </c>
      <c r="B10" s="22" t="inlineStr">
        <is>
          <t>IG DM</t>
        </is>
      </c>
      <c r="C10" s="22" t="inlineStr">
        <is>
          <t>TX</t>
        </is>
      </c>
      <c r="D10" s="22" t="inlineStr">
        <is>
          <t>2026-05-20</t>
        </is>
      </c>
      <c r="E10" s="22" t="inlineStr">
        <is>
          <t>Y</t>
        </is>
      </c>
      <c r="F10" s="22" t="inlineStr">
        <is>
          <t>2026-05-22</t>
        </is>
      </c>
      <c r="G10" s="22" t="inlineStr">
        <is>
          <t>Y</t>
        </is>
      </c>
      <c r="H10" s="22" t="inlineStr">
        <is>
          <t>2026-05-24</t>
        </is>
      </c>
      <c r="I10" s="22" t="inlineStr">
        <is>
          <t>Y</t>
        </is>
      </c>
      <c r="J10" s="22" t="inlineStr">
        <is>
          <t>Laid off, needs a new path</t>
        </is>
      </c>
      <c r="K10" s="22" t="inlineStr">
        <is>
          <t>Y</t>
        </is>
      </c>
      <c r="L10" s="22" t="inlineStr">
        <is>
          <t>2026-05-26</t>
        </is>
      </c>
      <c r="M10" s="22" t="inlineStr">
        <is>
          <t>Y</t>
        </is>
      </c>
      <c r="N10" s="22" t="inlineStr">
        <is>
          <t>2026-06-03</t>
        </is>
      </c>
      <c r="O10" s="22" t="inlineStr">
        <is>
          <t>ExamFX</t>
        </is>
      </c>
      <c r="P10" s="22" t="inlineStr">
        <is>
          <t>Y</t>
        </is>
      </c>
      <c r="Q10" s="22" t="n"/>
      <c r="R10" s="22" t="n"/>
      <c r="S10" s="22" t="n"/>
      <c r="T10" s="22" t="n"/>
      <c r="U10" s="22" t="inlineStr">
        <is>
          <t>Activation-Study</t>
        </is>
      </c>
      <c r="V10" s="22" t="n">
        <v>0</v>
      </c>
      <c r="W10" s="22" t="inlineStr">
        <is>
          <t>Studying, exam 6/15</t>
        </is>
      </c>
    </row>
    <row r="11">
      <c r="A11" s="22" t="inlineStr">
        <is>
          <t>Bianca Gomez</t>
        </is>
      </c>
      <c r="B11" s="22" t="inlineStr">
        <is>
          <t>Podcast</t>
        </is>
      </c>
      <c r="C11" s="22" t="inlineStr">
        <is>
          <t>CA</t>
        </is>
      </c>
      <c r="D11" s="22" t="inlineStr">
        <is>
          <t>2026-05-18</t>
        </is>
      </c>
      <c r="E11" s="22" t="inlineStr">
        <is>
          <t>Y</t>
        </is>
      </c>
      <c r="F11" s="22" t="inlineStr">
        <is>
          <t>2026-05-20</t>
        </is>
      </c>
      <c r="G11" s="22" t="inlineStr">
        <is>
          <t>Y</t>
        </is>
      </c>
      <c r="H11" s="22" t="inlineStr">
        <is>
          <t>2026-05-22</t>
        </is>
      </c>
      <c r="I11" s="22" t="inlineStr">
        <is>
          <t>Y</t>
        </is>
      </c>
      <c r="J11" s="22" t="inlineStr">
        <is>
          <t>Wants to build something of her own</t>
        </is>
      </c>
      <c r="K11" s="22" t="inlineStr">
        <is>
          <t>Y</t>
        </is>
      </c>
      <c r="L11" s="22" t="inlineStr">
        <is>
          <t>2026-05-24</t>
        </is>
      </c>
      <c r="M11" s="22" t="inlineStr">
        <is>
          <t>Y</t>
        </is>
      </c>
      <c r="N11" s="22" t="inlineStr">
        <is>
          <t>2026-06-01</t>
        </is>
      </c>
      <c r="O11" s="22" t="inlineStr">
        <is>
          <t>XCEL</t>
        </is>
      </c>
      <c r="P11" s="22" t="inlineStr">
        <is>
          <t>Y</t>
        </is>
      </c>
      <c r="Q11" s="22" t="n"/>
      <c r="R11" s="22" t="n"/>
      <c r="S11" s="22" t="n"/>
      <c r="T11" s="22" t="n"/>
      <c r="U11" s="22" t="inlineStr">
        <is>
          <t>Activation-Study</t>
        </is>
      </c>
      <c r="V11" s="22" t="n">
        <v>0</v>
      </c>
      <c r="W11" s="22" t="inlineStr">
        <is>
          <t>CA 12hr ethics done, practice 78%</t>
        </is>
      </c>
    </row>
    <row r="12">
      <c r="A12" s="22" t="inlineStr">
        <is>
          <t>Robert Pace</t>
        </is>
      </c>
      <c r="B12" s="22" t="inlineStr">
        <is>
          <t>Referral – Sam</t>
        </is>
      </c>
      <c r="C12" s="22" t="inlineStr">
        <is>
          <t>TX</t>
        </is>
      </c>
      <c r="D12" s="22" t="inlineStr">
        <is>
          <t>2026-05-10</t>
        </is>
      </c>
      <c r="E12" s="22" t="inlineStr">
        <is>
          <t>Y</t>
        </is>
      </c>
      <c r="F12" s="22" t="inlineStr">
        <is>
          <t>2026-05-12</t>
        </is>
      </c>
      <c r="G12" s="22" t="inlineStr">
        <is>
          <t>Y</t>
        </is>
      </c>
      <c r="H12" s="22" t="inlineStr">
        <is>
          <t>2026-05-14</t>
        </is>
      </c>
      <c r="I12" s="22" t="inlineStr">
        <is>
          <t>Y</t>
        </is>
      </c>
      <c r="J12" s="22" t="inlineStr">
        <is>
          <t>Tired of a dead-end job</t>
        </is>
      </c>
      <c r="K12" s="22" t="inlineStr">
        <is>
          <t>Y</t>
        </is>
      </c>
      <c r="L12" s="22" t="inlineStr">
        <is>
          <t>2026-05-16</t>
        </is>
      </c>
      <c r="M12" s="22" t="inlineStr">
        <is>
          <t>Y</t>
        </is>
      </c>
      <c r="N12" s="22" t="inlineStr">
        <is>
          <t>2026-05-18</t>
        </is>
      </c>
      <c r="O12" s="22" t="inlineStr">
        <is>
          <t>ExamFX</t>
        </is>
      </c>
      <c r="P12" s="22" t="inlineStr">
        <is>
          <t>Y</t>
        </is>
      </c>
      <c r="Q12" s="22" t="inlineStr">
        <is>
          <t>2026-05-28</t>
        </is>
      </c>
      <c r="R12" s="22" t="inlineStr">
        <is>
          <t>N</t>
        </is>
      </c>
      <c r="S12" s="22" t="n"/>
      <c r="T12" s="22" t="n"/>
      <c r="U12" s="22" t="inlineStr">
        <is>
          <t>Activation-Contract</t>
        </is>
      </c>
      <c r="V12" s="22" t="n">
        <v>0</v>
      </c>
      <c r="W12" s="22" t="inlineStr">
        <is>
          <t>Passed, contracting via SureLC</t>
        </is>
      </c>
    </row>
    <row r="13">
      <c r="A13" s="22" t="inlineStr">
        <is>
          <t>Jasmine Lee</t>
        </is>
      </c>
      <c r="B13" s="22" t="inlineStr">
        <is>
          <t>IG DM</t>
        </is>
      </c>
      <c r="C13" s="22" t="inlineStr">
        <is>
          <t>FL</t>
        </is>
      </c>
      <c r="D13" s="22" t="inlineStr">
        <is>
          <t>2026-05-01</t>
        </is>
      </c>
      <c r="E13" s="22" t="inlineStr">
        <is>
          <t>Y</t>
        </is>
      </c>
      <c r="F13" s="22" t="inlineStr">
        <is>
          <t>2026-05-03</t>
        </is>
      </c>
      <c r="G13" s="22" t="inlineStr">
        <is>
          <t>Y</t>
        </is>
      </c>
      <c r="H13" s="22" t="inlineStr">
        <is>
          <t>2026-05-05</t>
        </is>
      </c>
      <c r="I13" s="22" t="inlineStr">
        <is>
          <t>Y</t>
        </is>
      </c>
      <c r="J13" s="22" t="inlineStr">
        <is>
          <t>Single mom, wants control of income</t>
        </is>
      </c>
      <c r="K13" s="22" t="inlineStr">
        <is>
          <t>Y</t>
        </is>
      </c>
      <c r="L13" s="22" t="inlineStr">
        <is>
          <t>2026-05-07</t>
        </is>
      </c>
      <c r="M13" s="22" t="inlineStr">
        <is>
          <t>Y</t>
        </is>
      </c>
      <c r="N13" s="22" t="inlineStr">
        <is>
          <t>2026-05-09</t>
        </is>
      </c>
      <c r="O13" s="22" t="inlineStr">
        <is>
          <t>ExamFX</t>
        </is>
      </c>
      <c r="P13" s="22" t="inlineStr">
        <is>
          <t>Y</t>
        </is>
      </c>
      <c r="Q13" s="22" t="inlineStr">
        <is>
          <t>2026-05-19</t>
        </is>
      </c>
      <c r="R13" s="22" t="inlineStr">
        <is>
          <t>Y</t>
        </is>
      </c>
      <c r="S13" s="22" t="inlineStr">
        <is>
          <t>2026-05-25</t>
        </is>
      </c>
      <c r="T13" s="22" t="n"/>
      <c r="U13" s="22" t="inlineStr">
        <is>
          <t>Hell Week</t>
        </is>
      </c>
      <c r="V13" s="22" t="n">
        <v>0</v>
      </c>
      <c r="W13" s="22" t="inlineStr">
        <is>
          <t>Hell Week dialing, first sale target</t>
        </is>
      </c>
    </row>
    <row r="14">
      <c r="A14" s="22" t="inlineStr">
        <is>
          <t>Andre Wilson</t>
        </is>
      </c>
      <c r="B14" s="22" t="inlineStr">
        <is>
          <t>Referral – Jane</t>
        </is>
      </c>
      <c r="C14" s="22" t="inlineStr">
        <is>
          <t>GA</t>
        </is>
      </c>
      <c r="D14" s="22" t="inlineStr">
        <is>
          <t>2026-04-20</t>
        </is>
      </c>
      <c r="E14" s="22" t="inlineStr">
        <is>
          <t>Y</t>
        </is>
      </c>
      <c r="F14" s="22" t="inlineStr">
        <is>
          <t>2026-04-22</t>
        </is>
      </c>
      <c r="G14" s="22" t="inlineStr">
        <is>
          <t>Y</t>
        </is>
      </c>
      <c r="H14" s="22" t="inlineStr">
        <is>
          <t>2026-04-24</t>
        </is>
      </c>
      <c r="I14" s="22" t="inlineStr">
        <is>
          <t>Y</t>
        </is>
      </c>
      <c r="J14" s="22" t="inlineStr">
        <is>
          <t>Wanted out of warehouse work</t>
        </is>
      </c>
      <c r="K14" s="22" t="inlineStr">
        <is>
          <t>Y</t>
        </is>
      </c>
      <c r="L14" s="22" t="inlineStr">
        <is>
          <t>2026-04-26</t>
        </is>
      </c>
      <c r="M14" s="22" t="inlineStr">
        <is>
          <t>Y</t>
        </is>
      </c>
      <c r="N14" s="22" t="inlineStr">
        <is>
          <t>2026-04-28</t>
        </is>
      </c>
      <c r="O14" s="22" t="inlineStr">
        <is>
          <t>ExamFX</t>
        </is>
      </c>
      <c r="P14" s="22" t="inlineStr">
        <is>
          <t>Y</t>
        </is>
      </c>
      <c r="Q14" s="22" t="inlineStr">
        <is>
          <t>2026-05-06</t>
        </is>
      </c>
      <c r="R14" s="22" t="inlineStr">
        <is>
          <t>Y</t>
        </is>
      </c>
      <c r="S14" s="22" t="inlineStr">
        <is>
          <t>2026-05-12</t>
        </is>
      </c>
      <c r="T14" s="22" t="inlineStr">
        <is>
          <t>2026-05-15</t>
        </is>
      </c>
      <c r="U14" s="22" t="inlineStr">
        <is>
          <t>Graduated</t>
        </is>
      </c>
      <c r="V14" s="22" t="n">
        <v>0</v>
      </c>
      <c r="W14" s="22" t="inlineStr">
        <is>
          <t>First sale day 3 of Hell Week, now 30/60/90</t>
        </is>
      </c>
    </row>
    <row r="15">
      <c r="A15" s="22" t="inlineStr">
        <is>
          <t>Kyle Morris</t>
        </is>
      </c>
      <c r="B15" s="22" t="inlineStr">
        <is>
          <t>TikTok</t>
        </is>
      </c>
      <c r="C15" s="22" t="inlineStr">
        <is>
          <t>OH</t>
        </is>
      </c>
      <c r="D15" s="22" t="inlineStr">
        <is>
          <t>2026-05-25</t>
        </is>
      </c>
      <c r="E15" s="22" t="inlineStr">
        <is>
          <t>Y</t>
        </is>
      </c>
      <c r="F15" s="22" t="inlineStr">
        <is>
          <t>2026-05-27</t>
        </is>
      </c>
      <c r="G15" s="22" t="inlineStr">
        <is>
          <t>Y</t>
        </is>
      </c>
      <c r="H15" s="22" t="n"/>
      <c r="I15" s="22" t="n"/>
      <c r="J15" s="22" t="n"/>
      <c r="K15" s="22" t="inlineStr">
        <is>
          <t>N</t>
        </is>
      </c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inlineStr">
        <is>
          <t>Lost-Declined</t>
        </is>
      </c>
      <c r="V15" s="22" t="n">
        <v>2</v>
      </c>
      <c r="W15" s="22" t="inlineStr">
        <is>
          <t>Wouldn't commit to Hell Week, not a fit</t>
        </is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</row>
  </sheetData>
  <mergeCells count="1">
    <mergeCell ref="A1:W1"/>
  </mergeCells>
  <conditionalFormatting sqref="U3:U64">
    <cfRule type="cellIs" priority="1" operator="equal" dxfId="0">
      <formula>"Signed"</formula>
    </cfRule>
    <cfRule type="cellIs" priority="2" operator="equal" dxfId="1">
      <formula>"Hell Week"</formula>
    </cfRule>
    <cfRule type="cellIs" priority="3" operator="equal" dxfId="2">
      <formula>"Graduated"</formula>
    </cfRule>
    <cfRule type="cellIs" priority="4" operator="equal" dxfId="3">
      <formula>"Lost-Declined"</formula>
    </cfRule>
  </conditionalFormatting>
  <dataValidations count="2">
    <dataValidation sqref="U3:U64" showDropDown="0" showInputMessage="0" showErrorMessage="0" allowBlank="1" type="list">
      <formula1>"Funnel-Outreach,Funnel-Call1,Funnel-Call2,Funnel-Call3,Signed,Activation-Onboard,Activation-Study,Activation-Contract,Hell Week,Graduated,Lost-Declined"</formula1>
    </dataValidation>
    <dataValidation sqref="E3:E64 G3:G64 I3:I64 K3:K64 M3:M64 P3:P64 R3:R6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12" customWidth="1" min="11" max="11"/>
    <col width="11" customWidth="1" min="12" max="12"/>
    <col width="11" customWidth="1" min="13" max="13"/>
    <col width="26" customWidth="1" min="14" max="14"/>
  </cols>
  <sheetData>
    <row r="1" ht="26" customHeight="1">
      <c r="A1" s="9" t="inlineStr">
        <is>
          <t>YOUR DAILY OPERATING RHYTHM</t>
        </is>
      </c>
    </row>
    <row r="2">
      <c r="A2" s="12" t="inlineStr">
        <is>
          <t>Time</t>
        </is>
      </c>
      <c r="B2" s="12" t="inlineStr">
        <is>
          <t>Block</t>
        </is>
      </c>
      <c r="C2" s="12" t="inlineStr">
        <is>
          <t>What happens</t>
        </is>
      </c>
    </row>
    <row r="3">
      <c r="A3" s="13" t="inlineStr">
        <is>
          <t>8:00a</t>
        </is>
      </c>
      <c r="B3" s="13" t="inlineStr">
        <is>
          <t>DM Power Hour</t>
        </is>
      </c>
      <c r="C3" s="11" t="inlineStr">
        <is>
          <t>Overnight replies first, then new outreach — log every convo</t>
        </is>
      </c>
      <c r="D3" s="14" t="n"/>
      <c r="E3" s="14" t="n"/>
      <c r="F3" s="5" t="n"/>
    </row>
    <row r="4">
      <c r="A4" s="13" t="inlineStr">
        <is>
          <t>9:00a</t>
        </is>
      </c>
      <c r="B4" s="13" t="inlineStr">
        <is>
          <t>Pipeline sweep</t>
        </is>
      </c>
      <c r="C4" s="11" t="inlineStr">
        <is>
          <t>Confirm today's calls, send no-show touches + study check-ins</t>
        </is>
      </c>
      <c r="D4" s="14" t="n"/>
      <c r="E4" s="14" t="n"/>
      <c r="F4" s="5" t="n"/>
    </row>
    <row r="5">
      <c r="A5" s="13" t="inlineStr">
        <is>
          <t>10:00a</t>
        </is>
      </c>
      <c r="B5" s="13" t="inlineStr">
        <is>
          <t>Call block</t>
        </is>
      </c>
      <c r="C5" s="11" t="inlineStr">
        <is>
          <t>Call 1s / 2s / 3s back-to-back — update Pipeline between calls</t>
        </is>
      </c>
      <c r="D5" s="14" t="n"/>
      <c r="E5" s="14" t="n"/>
      <c r="F5" s="5" t="n"/>
    </row>
    <row r="6">
      <c r="A6" s="13" t="inlineStr">
        <is>
          <t>1:30p</t>
        </is>
      </c>
      <c r="B6" s="13" t="inlineStr">
        <is>
          <t>Your production</t>
        </is>
      </c>
      <c r="C6" s="11" t="inlineStr">
        <is>
          <t>Your sales + Hell Week support (new agents never close alone)</t>
        </is>
      </c>
      <c r="D6" s="14" t="n"/>
      <c r="E6" s="14" t="n"/>
      <c r="F6" s="5" t="n"/>
    </row>
    <row r="7">
      <c r="A7" s="13" t="inlineStr">
        <is>
          <t>7:00p</t>
        </is>
      </c>
      <c r="B7" s="13" t="inlineStr">
        <is>
          <t>Evening sweep</t>
        </is>
      </c>
      <c r="C7" s="11" t="inlineStr">
        <is>
          <t>2nd DM pass (best reply rates), check-in replies, tomorrow's list</t>
        </is>
      </c>
      <c r="D7" s="14" t="n"/>
      <c r="E7" s="14" t="n"/>
      <c r="F7" s="5" t="n"/>
    </row>
    <row r="8">
      <c r="A8" s="13" t="inlineStr">
        <is>
          <t>8:00p</t>
        </is>
      </c>
      <c r="B8" s="13" t="inlineStr">
        <is>
          <t>Score the day</t>
        </is>
      </c>
      <c r="C8" s="11" t="inlineStr">
        <is>
          <t>Fill the row below — 5 minutes</t>
        </is>
      </c>
      <c r="D8" s="14" t="n"/>
      <c r="E8" s="14" t="n"/>
      <c r="F8" s="5" t="n"/>
    </row>
    <row r="10">
      <c r="A10" s="15" t="inlineStr">
        <is>
          <t>DAILY SCOREBOARD LOG  —  one row per day</t>
        </is>
      </c>
    </row>
    <row r="11" ht="30" customHeight="1">
      <c r="A11" s="10" t="inlineStr">
        <is>
          <t>Date</t>
        </is>
      </c>
      <c r="B11" s="10" t="inlineStr">
        <is>
          <t>DMs Sent</t>
        </is>
      </c>
      <c r="C11" s="10" t="inlineStr">
        <is>
          <t>Replies</t>
        </is>
      </c>
      <c r="D11" s="10" t="inlineStr">
        <is>
          <t>Calls Booked</t>
        </is>
      </c>
      <c r="E11" s="10" t="inlineStr">
        <is>
          <t>C1 Done</t>
        </is>
      </c>
      <c r="F11" s="10" t="inlineStr">
        <is>
          <t>C2 Done</t>
        </is>
      </c>
      <c r="G11" s="10" t="inlineStr">
        <is>
          <t>C3 Done</t>
        </is>
      </c>
      <c r="H11" s="10" t="inlineStr">
        <is>
          <t>Signed</t>
        </is>
      </c>
      <c r="I11" s="10" t="inlineStr">
        <is>
          <t>No-Shows</t>
        </is>
      </c>
      <c r="J11" s="10" t="inlineStr">
        <is>
          <t>Exams Sched</t>
        </is>
      </c>
      <c r="K11" s="10" t="inlineStr">
        <is>
          <t>Exams Passed</t>
        </is>
      </c>
      <c r="L11" s="10" t="inlineStr">
        <is>
          <t>Sales (team)</t>
        </is>
      </c>
      <c r="M11" s="10" t="inlineStr">
        <is>
          <t>Sales (you)</t>
        </is>
      </c>
      <c r="N11" s="10" t="inlineStr">
        <is>
          <t>Notes</t>
        </is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>
      <c r="A47" s="16" t="inlineStr">
        <is>
          <t>TOTAL</t>
        </is>
      </c>
      <c r="B47" s="17">
        <f>SUM(B12:B46)</f>
        <v/>
      </c>
      <c r="C47" s="17">
        <f>SUM(C12:C46)</f>
        <v/>
      </c>
      <c r="D47" s="17">
        <f>SUM(D12:D46)</f>
        <v/>
      </c>
      <c r="E47" s="17">
        <f>SUM(E12:E46)</f>
        <v/>
      </c>
      <c r="F47" s="17">
        <f>SUM(F12:F46)</f>
        <v/>
      </c>
      <c r="G47" s="17">
        <f>SUM(G12:G46)</f>
        <v/>
      </c>
      <c r="H47" s="17">
        <f>SUM(H12:H46)</f>
        <v/>
      </c>
      <c r="I47" s="17">
        <f>SUM(I12:I46)</f>
        <v/>
      </c>
      <c r="J47" s="17">
        <f>SUM(J12:J46)</f>
        <v/>
      </c>
      <c r="K47" s="17">
        <f>SUM(K12:K46)</f>
        <v/>
      </c>
      <c r="L47" s="17">
        <f>SUM(L12:L46)</f>
        <v/>
      </c>
      <c r="M47" s="17">
        <f>SUM(M12:M46)</f>
        <v/>
      </c>
      <c r="N47" s="18" t="n"/>
    </row>
  </sheetData>
  <mergeCells count="9">
    <mergeCell ref="C5:F5"/>
    <mergeCell ref="C3:F3"/>
    <mergeCell ref="C8:F8"/>
    <mergeCell ref="C4:F4"/>
    <mergeCell ref="A1:F1"/>
    <mergeCell ref="C6:F6"/>
    <mergeCell ref="C7:F7"/>
    <mergeCell ref="A10:N10"/>
    <mergeCell ref="C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4" customWidth="1" min="4" max="4"/>
    <col width="46" customWidth="1" min="5" max="5"/>
  </cols>
  <sheetData>
    <row r="1" ht="26" customHeight="1">
      <c r="A1" s="9" t="inlineStr">
        <is>
          <t>DAY-0 STATE LICENSING LOOKUP</t>
        </is>
      </c>
    </row>
    <row r="3">
      <c r="A3" s="19" t="inlineStr">
        <is>
          <t>Enter state:</t>
        </is>
      </c>
      <c r="B3" s="20" t="inlineStr">
        <is>
          <t>Texas</t>
        </is>
      </c>
    </row>
    <row r="5">
      <c r="A5" s="19" t="inlineStr">
        <is>
          <t>PLE Hours</t>
        </is>
      </c>
      <c r="B5" s="21">
        <f>IFERROR(VLOOKUP($B$3,$A$11:$E$61,2,FALSE),"— type a state above —")</f>
        <v/>
      </c>
      <c r="C5" s="14" t="n"/>
      <c r="D5" s="14" t="n"/>
      <c r="E5" s="5" t="n"/>
    </row>
    <row r="6">
      <c r="A6" s="19" t="inlineStr">
        <is>
          <t>Fingerprints</t>
        </is>
      </c>
      <c r="B6" s="21">
        <f>IFERROR(VLOOKUP($B$3,$A$11:$E$61,3,FALSE),"— type a state above —")</f>
        <v/>
      </c>
      <c r="C6" s="14" t="n"/>
      <c r="D6" s="14" t="n"/>
      <c r="E6" s="5" t="n"/>
    </row>
    <row r="7">
      <c r="A7" s="19" t="inlineStr">
        <is>
          <t>Exam Vendor</t>
        </is>
      </c>
      <c r="B7" s="21">
        <f>IFERROR(VLOOKUP($B$3,$A$11:$E$61,4,FALSE),"— type a state above —")</f>
        <v/>
      </c>
      <c r="C7" s="14" t="n"/>
      <c r="D7" s="14" t="n"/>
      <c r="E7" s="5" t="n"/>
    </row>
    <row r="8">
      <c r="A8" s="19" t="inlineStr">
        <is>
          <t>Notes</t>
        </is>
      </c>
      <c r="B8" s="21">
        <f>IFERROR(VLOOKUP($B$3,$A$11:$E$61,5,FALSE),"— type a state above —")</f>
        <v/>
      </c>
      <c r="C8" s="14" t="n"/>
      <c r="D8" s="14" t="n"/>
      <c r="E8" s="5" t="n"/>
    </row>
    <row r="10" ht="28" customHeight="1">
      <c r="A10" s="10" t="inlineStr">
        <is>
          <t>State</t>
        </is>
      </c>
      <c r="B10" s="10" t="inlineStr">
        <is>
          <t>Life PLE Hours</t>
        </is>
      </c>
      <c r="C10" s="10" t="inlineStr">
        <is>
          <t>Fingerprints</t>
        </is>
      </c>
      <c r="D10" s="10" t="inlineStr">
        <is>
          <t>Exam Vendor</t>
        </is>
      </c>
      <c r="E10" s="10" t="inlineStr">
        <is>
          <t>Notes (VERIFY = confirm at DOI/NIPR)</t>
        </is>
      </c>
    </row>
    <row r="11">
      <c r="A11" s="11" t="inlineStr">
        <is>
          <t>Alabama</t>
        </is>
      </c>
      <c r="B11" s="11" t="inlineStr">
        <is>
          <t>0</t>
        </is>
      </c>
      <c r="C11" s="11" t="inlineStr">
        <is>
          <t>VERIFY</t>
        </is>
      </c>
      <c r="D11" s="11" t="inlineStr">
        <is>
          <t>State-run (Univ of Alabama)</t>
        </is>
      </c>
      <c r="E11" s="11" t="inlineStr">
        <is>
          <t>PLE eliminated Jan 2024</t>
        </is>
      </c>
    </row>
    <row r="12">
      <c r="A12" s="11" t="inlineStr">
        <is>
          <t>Alaska</t>
        </is>
      </c>
      <c r="B12" s="11" t="inlineStr">
        <is>
          <t>0</t>
        </is>
      </c>
      <c r="C12" s="11" t="inlineStr">
        <is>
          <t>VERIFY</t>
        </is>
      </c>
      <c r="D12" s="11" t="inlineStr">
        <is>
          <t>Pearson VUE</t>
        </is>
      </c>
      <c r="E12" s="11" t="inlineStr">
        <is>
          <t>No PLE required</t>
        </is>
      </c>
    </row>
    <row r="13">
      <c r="A13" s="11" t="inlineStr">
        <is>
          <t>Arizona</t>
        </is>
      </c>
      <c r="B13" s="11" t="inlineStr">
        <is>
          <t>0</t>
        </is>
      </c>
      <c r="C13" s="11" t="inlineStr">
        <is>
          <t>Y</t>
        </is>
      </c>
      <c r="D13" s="11" t="inlineStr">
        <is>
          <t>Prometric</t>
        </is>
      </c>
      <c r="E13" s="11" t="inlineStr">
        <is>
          <t>No PLE required</t>
        </is>
      </c>
    </row>
    <row r="14">
      <c r="A14" s="11" t="inlineStr">
        <is>
          <t>Arkansas</t>
        </is>
      </c>
      <c r="B14" s="11" t="inlineStr">
        <is>
          <t>0</t>
        </is>
      </c>
      <c r="C14" s="11" t="inlineStr">
        <is>
          <t>VERIFY</t>
        </is>
      </c>
      <c r="D14" s="11" t="inlineStr">
        <is>
          <t>Pearson VUE</t>
        </is>
      </c>
      <c r="E14" s="11" t="inlineStr">
        <is>
          <t>No PLE required</t>
        </is>
      </c>
    </row>
    <row r="15">
      <c r="A15" s="11" t="inlineStr">
        <is>
          <t>California</t>
        </is>
      </c>
      <c r="B15" s="11" t="inlineStr">
        <is>
          <t>12</t>
        </is>
      </c>
      <c r="C15" s="11" t="inlineStr">
        <is>
          <t>Y</t>
        </is>
      </c>
      <c r="D15" s="11" t="inlineStr">
        <is>
          <t>PSI</t>
        </is>
      </c>
      <c r="E15" s="11" t="inlineStr">
        <is>
          <t>12 hrs Code &amp; Ethics only (AB 943, Jan 2026); PLE eliminated</t>
        </is>
      </c>
    </row>
    <row r="16">
      <c r="A16" s="11" t="inlineStr">
        <is>
          <t>Colorado</t>
        </is>
      </c>
      <c r="B16" s="11" t="inlineStr">
        <is>
          <t>50</t>
        </is>
      </c>
      <c r="C16" s="11" t="inlineStr">
        <is>
          <t>VERIFY</t>
        </is>
      </c>
      <c r="D16" s="11" t="inlineStr">
        <is>
          <t>Pearson VUE</t>
        </is>
      </c>
      <c r="E16" s="11" t="inlineStr">
        <is>
          <t>50 hrs life</t>
        </is>
      </c>
    </row>
    <row r="17">
      <c r="A17" s="11" t="inlineStr">
        <is>
          <t>Connecticut</t>
        </is>
      </c>
      <c r="B17" s="11" t="inlineStr">
        <is>
          <t>20</t>
        </is>
      </c>
      <c r="C17" s="11" t="inlineStr">
        <is>
          <t>VERIFY</t>
        </is>
      </c>
      <c r="D17" s="11" t="inlineStr">
        <is>
          <t>Prometric</t>
        </is>
      </c>
      <c r="E17" s="11" t="inlineStr">
        <is>
          <t>20 hrs life</t>
        </is>
      </c>
    </row>
    <row r="18">
      <c r="A18" s="11" t="inlineStr">
        <is>
          <t>Delaware</t>
        </is>
      </c>
      <c r="B18" s="11" t="inlineStr">
        <is>
          <t>0</t>
        </is>
      </c>
      <c r="C18" s="11" t="inlineStr">
        <is>
          <t>VERIFY</t>
        </is>
      </c>
      <c r="D18" s="11" t="inlineStr">
        <is>
          <t>Pearson VUE</t>
        </is>
      </c>
      <c r="E18" s="11" t="inlineStr">
        <is>
          <t>No PLE required</t>
        </is>
      </c>
    </row>
    <row r="19">
      <c r="A19" s="11" t="inlineStr">
        <is>
          <t>District of Columbia</t>
        </is>
      </c>
      <c r="B19" s="11" t="inlineStr">
        <is>
          <t>0 (VERIFY)</t>
        </is>
      </c>
      <c r="C19" s="11" t="inlineStr">
        <is>
          <t>VERIFY</t>
        </is>
      </c>
      <c r="D19" s="11" t="inlineStr">
        <is>
          <t>Pearson VUE</t>
        </is>
      </c>
      <c r="E19" s="11" t="inlineStr">
        <is>
          <t>Varies - confirm at DOI</t>
        </is>
      </c>
    </row>
    <row r="20">
      <c r="A20" s="11" t="inlineStr">
        <is>
          <t>Florida</t>
        </is>
      </c>
      <c r="B20" s="11" t="inlineStr">
        <is>
          <t>40</t>
        </is>
      </c>
      <c r="C20" s="11" t="inlineStr">
        <is>
          <t>Y</t>
        </is>
      </c>
      <c r="D20" s="11" t="inlineStr">
        <is>
          <t>Pearson VUE</t>
        </is>
      </c>
      <c r="E20" s="11" t="inlineStr">
        <is>
          <t>2-14 life-only=40 hrs; 2-15 Life+Health=60 hrs</t>
        </is>
      </c>
    </row>
    <row r="21">
      <c r="A21" s="11" t="inlineStr">
        <is>
          <t>Georgia</t>
        </is>
      </c>
      <c r="B21" s="11" t="inlineStr">
        <is>
          <t>8 (VERIFY)</t>
        </is>
      </c>
      <c r="C21" s="11" t="inlineStr">
        <is>
          <t>Y</t>
        </is>
      </c>
      <c r="D21" s="11" t="inlineStr">
        <is>
          <t>Pearson VUE</t>
        </is>
      </c>
      <c r="E21" s="11" t="inlineStr">
        <is>
          <t>Small requirement per 2026 guide - confirm</t>
        </is>
      </c>
    </row>
    <row r="22">
      <c r="A22" s="11" t="inlineStr">
        <is>
          <t>Hawaii</t>
        </is>
      </c>
      <c r="B22" s="11" t="inlineStr">
        <is>
          <t>0</t>
        </is>
      </c>
      <c r="C22" s="11" t="inlineStr">
        <is>
          <t>VERIFY</t>
        </is>
      </c>
      <c r="D22" s="11" t="inlineStr">
        <is>
          <t>PSI</t>
        </is>
      </c>
      <c r="E22" s="11" t="inlineStr">
        <is>
          <t>No PLE required</t>
        </is>
      </c>
    </row>
    <row r="23">
      <c r="A23" s="11" t="inlineStr">
        <is>
          <t>Idaho</t>
        </is>
      </c>
      <c r="B23" s="11" t="inlineStr">
        <is>
          <t>0</t>
        </is>
      </c>
      <c r="C23" s="11" t="inlineStr">
        <is>
          <t>VERIFY</t>
        </is>
      </c>
      <c r="D23" s="11" t="inlineStr">
        <is>
          <t>Pearson VUE</t>
        </is>
      </c>
      <c r="E23" s="11" t="inlineStr">
        <is>
          <t>No PLE required</t>
        </is>
      </c>
    </row>
    <row r="24">
      <c r="A24" s="11" t="inlineStr">
        <is>
          <t>Illinois</t>
        </is>
      </c>
      <c r="B24" s="11" t="inlineStr">
        <is>
          <t>20</t>
        </is>
      </c>
      <c r="C24" s="11" t="inlineStr">
        <is>
          <t>VERIFY</t>
        </is>
      </c>
      <c r="D24" s="11" t="inlineStr">
        <is>
          <t>Pearson VUE</t>
        </is>
      </c>
      <c r="E24" s="11" t="inlineStr">
        <is>
          <t>20 hrs per line (40 for Life+Health)</t>
        </is>
      </c>
    </row>
    <row r="25">
      <c r="A25" s="11" t="inlineStr">
        <is>
          <t>Indiana</t>
        </is>
      </c>
      <c r="B25" s="11" t="inlineStr">
        <is>
          <t>20</t>
        </is>
      </c>
      <c r="C25" s="11" t="inlineStr">
        <is>
          <t>VERIFY</t>
        </is>
      </c>
      <c r="D25" s="11" t="inlineStr">
        <is>
          <t>Prometric</t>
        </is>
      </c>
      <c r="E25" s="11" t="inlineStr">
        <is>
          <t>20 hrs life</t>
        </is>
      </c>
    </row>
    <row r="26">
      <c r="A26" s="11" t="inlineStr">
        <is>
          <t>Iowa</t>
        </is>
      </c>
      <c r="B26" s="11" t="inlineStr">
        <is>
          <t>0</t>
        </is>
      </c>
      <c r="C26" s="11" t="inlineStr">
        <is>
          <t>VERIFY</t>
        </is>
      </c>
      <c r="D26" s="11" t="inlineStr">
        <is>
          <t>Pearson VUE</t>
        </is>
      </c>
      <c r="E26" s="11" t="inlineStr">
        <is>
          <t>No PLE required</t>
        </is>
      </c>
    </row>
    <row r="27">
      <c r="A27" s="11" t="inlineStr">
        <is>
          <t>Kansas</t>
        </is>
      </c>
      <c r="B27" s="11" t="inlineStr">
        <is>
          <t>0</t>
        </is>
      </c>
      <c r="C27" s="11" t="inlineStr">
        <is>
          <t>VERIFY</t>
        </is>
      </c>
      <c r="D27" s="11" t="inlineStr">
        <is>
          <t>Pearson VUE</t>
        </is>
      </c>
      <c r="E27" s="11" t="inlineStr">
        <is>
          <t>No PLE required</t>
        </is>
      </c>
    </row>
    <row r="28">
      <c r="A28" s="11" t="inlineStr">
        <is>
          <t>Kentucky</t>
        </is>
      </c>
      <c r="B28" s="11" t="inlineStr">
        <is>
          <t>20</t>
        </is>
      </c>
      <c r="C28" s="11" t="inlineStr">
        <is>
          <t>VERIFY</t>
        </is>
      </c>
      <c r="D28" s="11" t="inlineStr">
        <is>
          <t>State-run (KY DOI)</t>
        </is>
      </c>
      <c r="E28" s="11" t="inlineStr">
        <is>
          <t>Does not use big-3 vendors - exam via DOI</t>
        </is>
      </c>
    </row>
    <row r="29">
      <c r="A29" s="11" t="inlineStr">
        <is>
          <t>Louisiana</t>
        </is>
      </c>
      <c r="B29" s="11" t="inlineStr">
        <is>
          <t>0</t>
        </is>
      </c>
      <c r="C29" s="11" t="inlineStr">
        <is>
          <t>VERIFY</t>
        </is>
      </c>
      <c r="D29" s="11" t="inlineStr">
        <is>
          <t>Pearson VUE</t>
        </is>
      </c>
      <c r="E29" s="11" t="inlineStr">
        <is>
          <t>PLE eliminated</t>
        </is>
      </c>
    </row>
    <row r="30">
      <c r="A30" s="11" t="inlineStr">
        <is>
          <t>Maine</t>
        </is>
      </c>
      <c r="B30" s="11" t="inlineStr">
        <is>
          <t>0 (VERIFY)</t>
        </is>
      </c>
      <c r="C30" s="11" t="inlineStr">
        <is>
          <t>VERIFY</t>
        </is>
      </c>
      <c r="D30" s="11" t="inlineStr">
        <is>
          <t>Pearson VUE</t>
        </is>
      </c>
      <c r="E30" s="11" t="inlineStr">
        <is>
          <t>Likely no PLE - confirm</t>
        </is>
      </c>
    </row>
    <row r="31">
      <c r="A31" s="11" t="inlineStr">
        <is>
          <t>Maryland</t>
        </is>
      </c>
      <c r="B31" s="11" t="inlineStr">
        <is>
          <t>0</t>
        </is>
      </c>
      <c r="C31" s="11" t="inlineStr">
        <is>
          <t>VERIFY</t>
        </is>
      </c>
      <c r="D31" s="11" t="inlineStr">
        <is>
          <t>PSI</t>
        </is>
      </c>
      <c r="E31" s="11" t="inlineStr">
        <is>
          <t>PLE eliminated</t>
        </is>
      </c>
    </row>
    <row r="32">
      <c r="A32" s="11" t="inlineStr">
        <is>
          <t>Massachusetts</t>
        </is>
      </c>
      <c r="B32" s="11" t="inlineStr">
        <is>
          <t>0</t>
        </is>
      </c>
      <c r="C32" s="11" t="inlineStr">
        <is>
          <t>VERIFY</t>
        </is>
      </c>
      <c r="D32" s="11" t="inlineStr">
        <is>
          <t>Pearson VUE</t>
        </is>
      </c>
      <c r="E32" s="11" t="inlineStr">
        <is>
          <t>Pearson VUE provider from Jul 2026 (was Prometric); no PLE</t>
        </is>
      </c>
    </row>
    <row r="33">
      <c r="A33" s="11" t="inlineStr">
        <is>
          <t>Michigan</t>
        </is>
      </c>
      <c r="B33" s="11" t="inlineStr">
        <is>
          <t>20</t>
        </is>
      </c>
      <c r="C33" s="11" t="inlineStr">
        <is>
          <t>VERIFY</t>
        </is>
      </c>
      <c r="D33" s="11" t="inlineStr">
        <is>
          <t>PSI</t>
        </is>
      </c>
      <c r="E33" s="11" t="inlineStr">
        <is>
          <t>20 hrs life</t>
        </is>
      </c>
    </row>
    <row r="34">
      <c r="A34" s="11" t="inlineStr">
        <is>
          <t>Minnesota</t>
        </is>
      </c>
      <c r="B34" s="11" t="inlineStr">
        <is>
          <t>0 (VERIFY)</t>
        </is>
      </c>
      <c r="C34" s="11" t="inlineStr">
        <is>
          <t>VERIFY</t>
        </is>
      </c>
      <c r="D34" s="11" t="inlineStr">
        <is>
          <t>Pearson VUE</t>
        </is>
      </c>
      <c r="E34" s="11" t="inlineStr">
        <is>
          <t>Likely no PLE - confirm</t>
        </is>
      </c>
    </row>
    <row r="35">
      <c r="A35" s="11" t="inlineStr">
        <is>
          <t>Mississippi</t>
        </is>
      </c>
      <c r="B35" s="11" t="inlineStr">
        <is>
          <t>0 (VERIFY)</t>
        </is>
      </c>
      <c r="C35" s="11" t="inlineStr">
        <is>
          <t>VERIFY</t>
        </is>
      </c>
      <c r="D35" s="11" t="inlineStr">
        <is>
          <t>Pearson VUE</t>
        </is>
      </c>
      <c r="E35" s="11" t="inlineStr">
        <is>
          <t>Confirm at DOI</t>
        </is>
      </c>
    </row>
    <row r="36">
      <c r="A36" s="11" t="inlineStr">
        <is>
          <t>Missouri</t>
        </is>
      </c>
      <c r="B36" s="11" t="inlineStr">
        <is>
          <t>0</t>
        </is>
      </c>
      <c r="C36" s="11" t="inlineStr">
        <is>
          <t>VERIFY</t>
        </is>
      </c>
      <c r="D36" s="11" t="inlineStr">
        <is>
          <t>Pearson VUE</t>
        </is>
      </c>
      <c r="E36" s="11" t="inlineStr">
        <is>
          <t>No PLE required</t>
        </is>
      </c>
    </row>
    <row r="37">
      <c r="A37" s="11" t="inlineStr">
        <is>
          <t>Montana</t>
        </is>
      </c>
      <c r="B37" s="11" t="inlineStr">
        <is>
          <t>0 (VERIFY)</t>
        </is>
      </c>
      <c r="C37" s="11" t="inlineStr">
        <is>
          <t>VERIFY</t>
        </is>
      </c>
      <c r="D37" s="11" t="inlineStr">
        <is>
          <t>Prometric</t>
        </is>
      </c>
      <c r="E37" s="11" t="inlineStr">
        <is>
          <t>Confirm at DOI</t>
        </is>
      </c>
    </row>
    <row r="38">
      <c r="A38" s="11" t="inlineStr">
        <is>
          <t>Nebraska</t>
        </is>
      </c>
      <c r="B38" s="11" t="inlineStr">
        <is>
          <t>0</t>
        </is>
      </c>
      <c r="C38" s="11" t="inlineStr">
        <is>
          <t>VERIFY</t>
        </is>
      </c>
      <c r="D38" s="11" t="inlineStr">
        <is>
          <t>Pearson VUE</t>
        </is>
      </c>
      <c r="E38" s="11" t="inlineStr">
        <is>
          <t>No PLE required</t>
        </is>
      </c>
    </row>
    <row r="39">
      <c r="A39" s="11" t="inlineStr">
        <is>
          <t>Nevada</t>
        </is>
      </c>
      <c r="B39" s="11" t="inlineStr">
        <is>
          <t>0 (VERIFY)</t>
        </is>
      </c>
      <c r="C39" s="11" t="inlineStr">
        <is>
          <t>Y</t>
        </is>
      </c>
      <c r="D39" s="11" t="inlineStr">
        <is>
          <t>Pearson VUE</t>
        </is>
      </c>
      <c r="E39" s="11" t="inlineStr">
        <is>
          <t>Confirm at DOI</t>
        </is>
      </c>
    </row>
    <row r="40">
      <c r="A40" s="11" t="inlineStr">
        <is>
          <t>New Hampshire</t>
        </is>
      </c>
      <c r="B40" s="11" t="inlineStr">
        <is>
          <t>0 (VERIFY)</t>
        </is>
      </c>
      <c r="C40" s="11" t="inlineStr">
        <is>
          <t>VERIFY</t>
        </is>
      </c>
      <c r="D40" s="11" t="inlineStr">
        <is>
          <t>Prometric</t>
        </is>
      </c>
      <c r="E40" s="11" t="inlineStr">
        <is>
          <t>Confirm at DOI</t>
        </is>
      </c>
    </row>
    <row r="41">
      <c r="A41" s="11" t="inlineStr">
        <is>
          <t>New Jersey</t>
        </is>
      </c>
      <c r="B41" s="11" t="inlineStr">
        <is>
          <t>0 (VERIFY)</t>
        </is>
      </c>
      <c r="C41" s="11" t="inlineStr">
        <is>
          <t>Y</t>
        </is>
      </c>
      <c r="D41" s="11" t="inlineStr">
        <is>
          <t>PSI</t>
        </is>
      </c>
      <c r="E41" s="11" t="inlineStr">
        <is>
          <t>Likely no PLE - confirm</t>
        </is>
      </c>
    </row>
    <row r="42">
      <c r="A42" s="11" t="inlineStr">
        <is>
          <t>New Mexico</t>
        </is>
      </c>
      <c r="B42" s="11" t="inlineStr">
        <is>
          <t>0 (VERIFY)</t>
        </is>
      </c>
      <c r="C42" s="11" t="inlineStr">
        <is>
          <t>VERIFY</t>
        </is>
      </c>
      <c r="D42" s="11" t="inlineStr">
        <is>
          <t>Prometric</t>
        </is>
      </c>
      <c r="E42" s="11" t="inlineStr">
        <is>
          <t>Confirm at DOI</t>
        </is>
      </c>
    </row>
    <row r="43">
      <c r="A43" s="11" t="inlineStr">
        <is>
          <t>New York</t>
        </is>
      </c>
      <c r="B43" s="11" t="inlineStr">
        <is>
          <t>20 (VERIFY)</t>
        </is>
      </c>
      <c r="C43" s="11" t="inlineStr">
        <is>
          <t>VERIFY</t>
        </is>
      </c>
      <c r="D43" s="11" t="inlineStr">
        <is>
          <t>PSI</t>
        </is>
      </c>
      <c r="E43" s="11" t="inlineStr">
        <is>
          <t>Life-only ~20 hrs; combined more - confirm</t>
        </is>
      </c>
    </row>
    <row r="44">
      <c r="A44" s="11" t="inlineStr">
        <is>
          <t>North Carolina</t>
        </is>
      </c>
      <c r="B44" s="11" t="inlineStr">
        <is>
          <t>0</t>
        </is>
      </c>
      <c r="C44" s="11" t="inlineStr">
        <is>
          <t>VERIFY</t>
        </is>
      </c>
      <c r="D44" s="11" t="inlineStr">
        <is>
          <t>Pearson VUE</t>
        </is>
      </c>
      <c r="E44" s="11" t="inlineStr">
        <is>
          <t>PLE eliminated Oct 1 2025</t>
        </is>
      </c>
    </row>
    <row r="45">
      <c r="A45" s="11" t="inlineStr">
        <is>
          <t>North Dakota</t>
        </is>
      </c>
      <c r="B45" s="11" t="inlineStr">
        <is>
          <t>0 (VERIFY)</t>
        </is>
      </c>
      <c r="C45" s="11" t="inlineStr">
        <is>
          <t>VERIFY</t>
        </is>
      </c>
      <c r="D45" s="11" t="inlineStr">
        <is>
          <t>Prometric</t>
        </is>
      </c>
      <c r="E45" s="11" t="inlineStr">
        <is>
          <t>Confirm at DOI</t>
        </is>
      </c>
    </row>
    <row r="46">
      <c r="A46" s="11" t="inlineStr">
        <is>
          <t>Ohio</t>
        </is>
      </c>
      <c r="B46" s="11" t="inlineStr">
        <is>
          <t>20 (VERIFY)</t>
        </is>
      </c>
      <c r="C46" s="11" t="inlineStr">
        <is>
          <t>Y</t>
        </is>
      </c>
      <c r="D46" s="11" t="inlineStr">
        <is>
          <t>PSI</t>
        </is>
      </c>
      <c r="E46" s="11" t="inlineStr">
        <is>
          <t>Sources conflict (20-40) - confirm</t>
        </is>
      </c>
    </row>
    <row r="47">
      <c r="A47" s="11" t="inlineStr">
        <is>
          <t>Oklahoma</t>
        </is>
      </c>
      <c r="B47" s="11" t="inlineStr">
        <is>
          <t>0</t>
        </is>
      </c>
      <c r="C47" s="11" t="inlineStr">
        <is>
          <t>VERIFY</t>
        </is>
      </c>
      <c r="D47" s="11" t="inlineStr">
        <is>
          <t>Pearson VUE</t>
        </is>
      </c>
      <c r="E47" s="11" t="inlineStr">
        <is>
          <t>No PLE required</t>
        </is>
      </c>
    </row>
    <row r="48">
      <c r="A48" s="11" t="inlineStr">
        <is>
          <t>Oregon</t>
        </is>
      </c>
      <c r="B48" s="11" t="inlineStr">
        <is>
          <t>0 (VERIFY)</t>
        </is>
      </c>
      <c r="C48" s="11" t="inlineStr">
        <is>
          <t>VERIFY</t>
        </is>
      </c>
      <c r="D48" s="11" t="inlineStr">
        <is>
          <t>PSI</t>
        </is>
      </c>
      <c r="E48" s="11" t="inlineStr">
        <is>
          <t>Confirm at DOI</t>
        </is>
      </c>
    </row>
    <row r="49">
      <c r="A49" s="11" t="inlineStr">
        <is>
          <t>Pennsylvania</t>
        </is>
      </c>
      <c r="B49" s="11" t="inlineStr">
        <is>
          <t>0</t>
        </is>
      </c>
      <c r="C49" s="11" t="inlineStr">
        <is>
          <t>VERIFY</t>
        </is>
      </c>
      <c r="D49" s="11" t="inlineStr">
        <is>
          <t>Pearson VUE</t>
        </is>
      </c>
      <c r="E49" s="11" t="inlineStr">
        <is>
          <t>PLE eliminated Apr 29 2025</t>
        </is>
      </c>
    </row>
    <row r="50">
      <c r="A50" s="11" t="inlineStr">
        <is>
          <t>Rhode Island</t>
        </is>
      </c>
      <c r="B50" s="11" t="inlineStr">
        <is>
          <t>0 (VERIFY)</t>
        </is>
      </c>
      <c r="C50" s="11" t="inlineStr">
        <is>
          <t>VERIFY</t>
        </is>
      </c>
      <c r="D50" s="11" t="inlineStr">
        <is>
          <t>Pearson VUE</t>
        </is>
      </c>
      <c r="E50" s="11" t="inlineStr">
        <is>
          <t>Confirm at DOI</t>
        </is>
      </c>
    </row>
    <row r="51">
      <c r="A51" s="11" t="inlineStr">
        <is>
          <t>South Carolina</t>
        </is>
      </c>
      <c r="B51" s="11" t="inlineStr">
        <is>
          <t>0 (VERIFY)</t>
        </is>
      </c>
      <c r="C51" s="11" t="inlineStr">
        <is>
          <t>VERIFY</t>
        </is>
      </c>
      <c r="D51" s="11" t="inlineStr">
        <is>
          <t>Pearson VUE</t>
        </is>
      </c>
      <c r="E51" s="11" t="inlineStr">
        <is>
          <t>Confirm at DOI</t>
        </is>
      </c>
    </row>
    <row r="52">
      <c r="A52" s="11" t="inlineStr">
        <is>
          <t>South Dakota</t>
        </is>
      </c>
      <c r="B52" s="11" t="inlineStr">
        <is>
          <t>0 (VERIFY)</t>
        </is>
      </c>
      <c r="C52" s="11" t="inlineStr">
        <is>
          <t>VERIFY</t>
        </is>
      </c>
      <c r="D52" s="11" t="inlineStr">
        <is>
          <t>Pearson VUE</t>
        </is>
      </c>
      <c r="E52" s="11" t="inlineStr">
        <is>
          <t>Confirm at DOI</t>
        </is>
      </c>
    </row>
    <row r="53">
      <c r="A53" s="11" t="inlineStr">
        <is>
          <t>Tennessee</t>
        </is>
      </c>
      <c r="B53" s="11" t="inlineStr">
        <is>
          <t>0</t>
        </is>
      </c>
      <c r="C53" s="11" t="inlineStr">
        <is>
          <t>VERIFY</t>
        </is>
      </c>
      <c r="D53" s="11" t="inlineStr">
        <is>
          <t>Pearson VUE</t>
        </is>
      </c>
      <c r="E53" s="11" t="inlineStr">
        <is>
          <t>No PLE required</t>
        </is>
      </c>
    </row>
    <row r="54">
      <c r="A54" s="11" t="inlineStr">
        <is>
          <t>Texas</t>
        </is>
      </c>
      <c r="B54" s="11" t="inlineStr">
        <is>
          <t>0</t>
        </is>
      </c>
      <c r="C54" s="11" t="inlineStr">
        <is>
          <t>Y</t>
        </is>
      </c>
      <c r="D54" s="11" t="inlineStr">
        <is>
          <t>Pearson VUE</t>
        </is>
      </c>
      <c r="E54" s="11" t="inlineStr">
        <is>
          <t>No PLE; FBI fingerprints required</t>
        </is>
      </c>
    </row>
    <row r="55">
      <c r="A55" s="11" t="inlineStr">
        <is>
          <t>Utah</t>
        </is>
      </c>
      <c r="B55" s="11" t="inlineStr">
        <is>
          <t>0</t>
        </is>
      </c>
      <c r="C55" s="11" t="inlineStr">
        <is>
          <t>VERIFY</t>
        </is>
      </c>
      <c r="D55" s="11" t="inlineStr">
        <is>
          <t>Pearson VUE</t>
        </is>
      </c>
      <c r="E55" s="11" t="inlineStr">
        <is>
          <t>No PLE required</t>
        </is>
      </c>
    </row>
    <row r="56">
      <c r="A56" s="11" t="inlineStr">
        <is>
          <t>Vermont</t>
        </is>
      </c>
      <c r="B56" s="11" t="inlineStr">
        <is>
          <t>0 (VERIFY)</t>
        </is>
      </c>
      <c r="C56" s="11" t="inlineStr">
        <is>
          <t>VERIFY</t>
        </is>
      </c>
      <c r="D56" s="11" t="inlineStr">
        <is>
          <t>Pearson VUE</t>
        </is>
      </c>
      <c r="E56" s="11" t="inlineStr">
        <is>
          <t>Confirm at DOI</t>
        </is>
      </c>
    </row>
    <row r="57">
      <c r="A57" s="11" t="inlineStr">
        <is>
          <t>Virginia</t>
        </is>
      </c>
      <c r="B57" s="11" t="inlineStr">
        <is>
          <t>0</t>
        </is>
      </c>
      <c r="C57" s="11" t="inlineStr">
        <is>
          <t>VERIFY</t>
        </is>
      </c>
      <c r="D57" s="11" t="inlineStr">
        <is>
          <t>Pearson VUE</t>
        </is>
      </c>
      <c r="E57" s="11" t="inlineStr">
        <is>
          <t>No PLE required</t>
        </is>
      </c>
    </row>
    <row r="58">
      <c r="A58" s="11" t="inlineStr">
        <is>
          <t>Washington</t>
        </is>
      </c>
      <c r="B58" s="11" t="inlineStr">
        <is>
          <t>0</t>
        </is>
      </c>
      <c r="C58" s="11" t="inlineStr">
        <is>
          <t>VERIFY</t>
        </is>
      </c>
      <c r="D58" s="11" t="inlineStr">
        <is>
          <t>PSI</t>
        </is>
      </c>
      <c r="E58" s="11" t="inlineStr">
        <is>
          <t>PLE eliminated</t>
        </is>
      </c>
    </row>
    <row r="59">
      <c r="A59" s="11" t="inlineStr">
        <is>
          <t>West Virginia</t>
        </is>
      </c>
      <c r="B59" s="11" t="inlineStr">
        <is>
          <t>0 (VERIFY)</t>
        </is>
      </c>
      <c r="C59" s="11" t="inlineStr">
        <is>
          <t>VERIFY</t>
        </is>
      </c>
      <c r="D59" s="11" t="inlineStr">
        <is>
          <t>Pearson VUE</t>
        </is>
      </c>
      <c r="E59" s="11" t="inlineStr">
        <is>
          <t>Confirm at DOI</t>
        </is>
      </c>
    </row>
    <row r="60">
      <c r="A60" s="11" t="inlineStr">
        <is>
          <t>Wisconsin</t>
        </is>
      </c>
      <c r="B60" s="11" t="inlineStr">
        <is>
          <t>0 (VERIFY)</t>
        </is>
      </c>
      <c r="C60" s="11" t="inlineStr">
        <is>
          <t>VERIFY</t>
        </is>
      </c>
      <c r="D60" s="11" t="inlineStr">
        <is>
          <t>PSI</t>
        </is>
      </c>
      <c r="E60" s="11" t="inlineStr">
        <is>
          <t>Confirm at DOI</t>
        </is>
      </c>
    </row>
    <row r="61">
      <c r="A61" s="11" t="inlineStr">
        <is>
          <t>Wyoming</t>
        </is>
      </c>
      <c r="B61" s="11" t="inlineStr">
        <is>
          <t>0 (VERIFY)</t>
        </is>
      </c>
      <c r="C61" s="11" t="inlineStr">
        <is>
          <t>VERIFY</t>
        </is>
      </c>
      <c r="D61" s="11" t="inlineStr">
        <is>
          <t>Pearson VUE</t>
        </is>
      </c>
      <c r="E61" s="11" t="inlineStr">
        <is>
          <t>Confirm at DOI</t>
        </is>
      </c>
    </row>
  </sheetData>
  <mergeCells count="5">
    <mergeCell ref="B8:E8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2026-06-13T03:54:44Z</dcterms:created>
  <dcterms:modified xsi:type="dcterms:W3CDTF">2026-06-13T03:54:46Z</dcterms:modified>
</cp:coreProperties>
</file>